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TECH-3\Desktop\GitHubStuff\mtuci\7сем\Эконом Теория\Практика\"/>
    </mc:Choice>
  </mc:AlternateContent>
  <bookViews>
    <workbookView xWindow="0" yWindow="0" windowWidth="19200" windowHeight="7310"/>
  </bookViews>
  <sheets>
    <sheet name="ФОТ по должностям" sheetId="1" r:id="rId1"/>
    <sheet name="Итог" sheetId="2" state="hidden" r:id="rId2"/>
  </sheets>
  <calcPr calcId="152511"/>
</workbook>
</file>

<file path=xl/calcChain.xml><?xml version="1.0" encoding="utf-8"?>
<calcChain xmlns="http://schemas.openxmlformats.org/spreadsheetml/2006/main">
  <c r="E13" i="1" l="1"/>
  <c r="B6" i="1"/>
  <c r="E6" i="1" s="1"/>
  <c r="B13" i="1" s="1"/>
  <c r="E14" i="1" s="1"/>
  <c r="E3" i="1"/>
  <c r="E4" i="1"/>
  <c r="E5" i="1"/>
  <c r="E2" i="1"/>
  <c r="D6" i="1"/>
  <c r="D5" i="1"/>
  <c r="B14" i="1" l="1"/>
</calcChain>
</file>

<file path=xl/sharedStrings.xml><?xml version="1.0" encoding="utf-8"?>
<sst xmlns="http://schemas.openxmlformats.org/spreadsheetml/2006/main" count="21" uniqueCount="19">
  <si>
    <t>Должность</t>
  </si>
  <si>
    <t>Оклад, руб./мес</t>
  </si>
  <si>
    <t>Мотивирующие выплаты (10%)</t>
  </si>
  <si>
    <t>Итого без налогов, руб./мес</t>
  </si>
  <si>
    <t>Сборщик (2 чел.)</t>
  </si>
  <si>
    <t>Тестировщик</t>
  </si>
  <si>
    <t>Упаковщик</t>
  </si>
  <si>
    <t>Показатель</t>
  </si>
  <si>
    <t>Сумма</t>
  </si>
  <si>
    <t>ФОТ (без налогов), руб./мес</t>
  </si>
  <si>
    <t>Налоги (30%)</t>
  </si>
  <si>
    <t>ФОТ с налогами, руб./мес</t>
  </si>
  <si>
    <t>ФОТ с налогами, руб./год</t>
  </si>
  <si>
    <t>Водитель</t>
  </si>
  <si>
    <t>МЕСЯЧНЫЙ ФОНД</t>
  </si>
  <si>
    <t>ГОДОВОЙ ФОНД</t>
  </si>
  <si>
    <t>БЕЗ НАЛОГОВ</t>
  </si>
  <si>
    <t>С НАЛОГОМ</t>
  </si>
  <si>
    <t>Компенсирующие выплаты (+5%)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</si>
</sst>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9" sqref="E9"/>
    </sheetView>
  </sheetViews>
  <sheetFormatPr defaultRowHeight="14.5" x14ac:dyDescent="0.35"/>
  <cols>
    <col min="1" max="1" width="21" customWidth="1"/>
    <col min="2" max="2" width="23.7265625" customWidth="1"/>
    <col min="3" max="3" width="31.7265625" customWidth="1"/>
    <col min="4" max="4" width="33.26953125" customWidth="1"/>
    <col min="5" max="5" width="28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</row>
    <row r="2" spans="1:5" x14ac:dyDescent="0.35">
      <c r="A2" t="s">
        <v>4</v>
      </c>
      <c r="B2">
        <v>90000</v>
      </c>
      <c r="C2">
        <v>9000</v>
      </c>
      <c r="D2">
        <v>4500</v>
      </c>
      <c r="E2">
        <f>SUM(B2:D2)</f>
        <v>103500</v>
      </c>
    </row>
    <row r="3" spans="1:5" x14ac:dyDescent="0.35">
      <c r="A3" t="s">
        <v>5</v>
      </c>
      <c r="B3">
        <v>50000</v>
      </c>
      <c r="C3">
        <v>5000</v>
      </c>
      <c r="D3">
        <v>2500</v>
      </c>
      <c r="E3">
        <f t="shared" ref="E3:E6" si="0">SUM(B3:D3)</f>
        <v>57500</v>
      </c>
    </row>
    <row r="4" spans="1:5" x14ac:dyDescent="0.35">
      <c r="A4" t="s">
        <v>6</v>
      </c>
      <c r="B4">
        <v>40000</v>
      </c>
      <c r="C4">
        <v>4000</v>
      </c>
      <c r="D4">
        <v>2000</v>
      </c>
      <c r="E4">
        <f t="shared" si="0"/>
        <v>46000</v>
      </c>
    </row>
    <row r="5" spans="1:5" x14ac:dyDescent="0.35">
      <c r="A5" t="s">
        <v>13</v>
      </c>
      <c r="B5">
        <v>55000</v>
      </c>
      <c r="C5">
        <v>5500</v>
      </c>
      <c r="D5">
        <f>C5/2</f>
        <v>2750</v>
      </c>
      <c r="E5">
        <f t="shared" si="0"/>
        <v>63250</v>
      </c>
    </row>
    <row r="6" spans="1:5" x14ac:dyDescent="0.35">
      <c r="B6">
        <f>SUM(B2:B5)</f>
        <v>235000</v>
      </c>
      <c r="C6">
        <v>23500</v>
      </c>
      <c r="D6">
        <f>C6/2</f>
        <v>11750</v>
      </c>
      <c r="E6">
        <f>SUM(B6:D6)</f>
        <v>270250</v>
      </c>
    </row>
    <row r="11" spans="1:5" x14ac:dyDescent="0.35">
      <c r="D11" s="6" t="s">
        <v>17</v>
      </c>
      <c r="E11" s="7"/>
    </row>
    <row r="12" spans="1:5" x14ac:dyDescent="0.35">
      <c r="A12" s="6" t="s">
        <v>16</v>
      </c>
      <c r="B12" s="7"/>
      <c r="D12" s="8">
        <v>0.3</v>
      </c>
      <c r="E12" s="9"/>
    </row>
    <row r="13" spans="1:5" x14ac:dyDescent="0.35">
      <c r="A13" s="2" t="s">
        <v>14</v>
      </c>
      <c r="B13" s="3">
        <f>E6</f>
        <v>270250</v>
      </c>
      <c r="D13" s="2" t="s">
        <v>14</v>
      </c>
      <c r="E13" s="3">
        <f>B13*(100%+D12)</f>
        <v>351325</v>
      </c>
    </row>
    <row r="14" spans="1:5" x14ac:dyDescent="0.35">
      <c r="A14" s="4" t="s">
        <v>15</v>
      </c>
      <c r="B14" s="5">
        <f>B13*12</f>
        <v>3243000</v>
      </c>
      <c r="D14" s="4" t="s">
        <v>15</v>
      </c>
      <c r="E14" s="5">
        <f>E13*12</f>
        <v>4215900</v>
      </c>
    </row>
  </sheetData>
  <mergeCells count="3">
    <mergeCell ref="A12:B12"/>
    <mergeCell ref="D12:E12"/>
    <mergeCell ref="D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28.26953125" customWidth="1"/>
    <col min="2" max="2" width="12.6328125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t="s">
        <v>9</v>
      </c>
      <c r="B2">
        <v>271000</v>
      </c>
    </row>
    <row r="3" spans="1:2" x14ac:dyDescent="0.35">
      <c r="A3" t="s">
        <v>10</v>
      </c>
      <c r="B3">
        <v>81300</v>
      </c>
    </row>
    <row r="4" spans="1:2" x14ac:dyDescent="0.35">
      <c r="A4" t="s">
        <v>11</v>
      </c>
      <c r="B4">
        <v>352300</v>
      </c>
    </row>
    <row r="5" spans="1:2" x14ac:dyDescent="0.35">
      <c r="A5" t="s">
        <v>12</v>
      </c>
      <c r="B5">
        <v>4227600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ФОТ по должностям</vt:lpstr>
      <vt:lpstr>Итог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HITECH-3</cp:lastModifiedBy>
  <dcterms:created xsi:type="dcterms:W3CDTF">2025-11-11T10:15:17Z</dcterms:created>
  <dcterms:modified xsi:type="dcterms:W3CDTF">2025-11-11T10:23:16Z</dcterms:modified>
</cp:coreProperties>
</file>